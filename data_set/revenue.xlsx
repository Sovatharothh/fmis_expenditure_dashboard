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data_set\"/>
    </mc:Choice>
  </mc:AlternateContent>
  <xr:revisionPtr revIDLastSave="0" documentId="13_ncr:1_{564D0B89-BDA2-4BFC-AB46-011F7E201B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</sheets>
  <definedNames>
    <definedName name="_xlnm._FilterDatabase" localSheetId="0" hidden="1">'Sheet 1'!$A$1:$H$5</definedName>
    <definedName name="_xlnm._FilterDatabase" localSheetId="1" hidden="1">'Sheet 2'!$A$1:$C$4</definedName>
    <definedName name="_xlnm._FilterDatabase" localSheetId="2" hidden="1">'Sheet 3 '!$A$1:$C$6</definedName>
    <definedName name="_xlnm._FilterDatabase" localSheetId="3" hidden="1">'Sheet 4'!$A$1:$C$4</definedName>
    <definedName name="_xlnm._FilterDatabase" localSheetId="4" hidden="1">'Sheet 5'!$A$1:$C$2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2" i="1"/>
  <c r="H3" i="1"/>
  <c r="F4" i="1"/>
  <c r="C4" i="1"/>
  <c r="D4" i="1"/>
  <c r="E4" i="1"/>
  <c r="H4" i="1" l="1"/>
</calcChain>
</file>

<file path=xl/sharedStrings.xml><?xml version="1.0" encoding="utf-8"?>
<sst xmlns="http://schemas.openxmlformats.org/spreadsheetml/2006/main" count="36" uniqueCount="28">
  <si>
    <t xml:space="preserve">   </t>
  </si>
  <si>
    <t>GOV_LEVEL</t>
  </si>
  <si>
    <t>ORIGINAL_BUDGET</t>
  </si>
  <si>
    <t>ADJUSTMENT_BUDGET</t>
  </si>
  <si>
    <t>TRANSFER_BUDGET</t>
  </si>
  <si>
    <t>CURRENT_BUDGET</t>
  </si>
  <si>
    <t>National</t>
  </si>
  <si>
    <t>Sub-national</t>
  </si>
  <si>
    <t>IMPLEMENTATION</t>
  </si>
  <si>
    <t>BUSINESS_UNIT</t>
  </si>
  <si>
    <t>MONTH_NAME</t>
  </si>
  <si>
    <t>Jan</t>
  </si>
  <si>
    <t>Feb</t>
  </si>
  <si>
    <t>Mar</t>
  </si>
  <si>
    <t>AVAILABLE_BUDGET</t>
  </si>
  <si>
    <t>All</t>
  </si>
  <si>
    <t>QUARTER_NAME</t>
  </si>
  <si>
    <t>Q1</t>
  </si>
  <si>
    <t>10000</t>
  </si>
  <si>
    <t>EXPENDITURE_CATEGORY</t>
  </si>
  <si>
    <t>MODIFIED_LAW</t>
  </si>
  <si>
    <t>Tax</t>
  </si>
  <si>
    <t>Non-Tax</t>
  </si>
  <si>
    <t>Customs</t>
  </si>
  <si>
    <t>22000</t>
  </si>
  <si>
    <t>27000</t>
  </si>
  <si>
    <t>32000</t>
  </si>
  <si>
    <t>28000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</si>
</sst>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4" fontId="2" fillId="2" borderId="0" xfId="1" applyNumberFormat="1" applyFont="1" applyFill="1"/>
    <xf numFmtId="49" fontId="0" fillId="0" borderId="0" xfId="0" applyNumberFormat="1"/>
    <xf numFmtId="164" fontId="2" fillId="3" borderId="0" xfId="1" applyNumberFormat="1" applyFont="1" applyFill="1"/>
    <xf numFmtId="43" fontId="2" fillId="2" borderId="0" xfId="1" applyFont="1" applyFill="1"/>
    <xf numFmtId="164" fontId="2" fillId="0" borderId="0" xfId="1" applyNumberFormat="1" applyFont="1"/>
    <xf numFmtId="0" fontId="2" fillId="2" borderId="0" xfId="0" applyFont="1" applyFill="1"/>
    <xf numFmtId="164" fontId="0" fillId="0" borderId="0" xfId="1" applyNumberFormat="1" applyFont="1"/>
    <xf numFmtId="0" fontId="2" fillId="0" borderId="0" xfId="0" applyFont="1"/>
    <xf numFmtId="164" fontId="0" fillId="3" borderId="0" xfId="1" applyNumberFormat="1" applyFont="1" applyFill="1"/>
    <xf numFmtId="0" fontId="0" fillId="3" borderId="0" xfId="0" applyFill="1"/>
    <xf numFmtId="165" fontId="2" fillId="0" borderId="0" xfId="1" applyNumberFormat="1" applyFont="1"/>
    <xf numFmtId="0" fontId="0" fillId="0" borderId="0" xfId="0"/>
    <xf numFmtId="165" fontId="2" fillId="2" borderId="0" xfId="1" applyNumberFormat="1" applyFont="1" applyFill="1"/>
    <xf numFmtId="165" fontId="0" fillId="0" borderId="0" xfId="1" applyNumberFormat="1" applyFont="1"/>
    <xf numFmtId="165" fontId="0" fillId="0" borderId="0" xfId="0" applyNumberFormat="1"/>
    <xf numFmtId="0" fontId="0" fillId="0" borderId="0" xfId="0"/>
    <xf numFmtId="0" fontId="0" fillId="0" borderId="0" xfId="0"/>
    <xf numFmtId="0" fontId="0" fillId="0" borderId="0" xfId="0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pane ySplit="1" topLeftCell="A2" activePane="bottomLeft" state="frozen"/>
      <selection pane="bottomLeft" activeCell="E13" sqref="E13"/>
    </sheetView>
  </sheetViews>
  <sheetFormatPr defaultColWidth="9.125" defaultRowHeight="13.2" x14ac:dyDescent="0.3"/>
  <cols>
    <col min="1" max="1" width="4.125" style="7" bestFit="1" customWidth="1"/>
    <col min="2" max="2" width="13.25" style="7" bestFit="1" customWidth="1"/>
    <col min="3" max="3" width="25" style="14" customWidth="1"/>
    <col min="4" max="4" width="23.75" style="14" bestFit="1" customWidth="1"/>
    <col min="5" max="5" width="20.625" style="14" bestFit="1" customWidth="1"/>
    <col min="6" max="6" width="21" style="14" customWidth="1"/>
    <col min="7" max="7" width="20.875" style="7" bestFit="1" customWidth="1"/>
    <col min="8" max="8" width="21.5" style="7" bestFit="1" customWidth="1"/>
    <col min="9" max="16384" width="9.125" style="7"/>
  </cols>
  <sheetData>
    <row r="1" spans="1:8" s="5" customFormat="1" x14ac:dyDescent="0.3">
      <c r="A1" s="5" t="s">
        <v>0</v>
      </c>
      <c r="B1" s="1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" t="s">
        <v>8</v>
      </c>
      <c r="H1" s="3" t="s">
        <v>14</v>
      </c>
    </row>
    <row r="2" spans="1:8" x14ac:dyDescent="0.3">
      <c r="A2" s="7">
        <v>3</v>
      </c>
      <c r="B2" s="12" t="s">
        <v>6</v>
      </c>
      <c r="C2" s="14">
        <v>29814035000000</v>
      </c>
      <c r="D2" s="15">
        <v>0</v>
      </c>
      <c r="E2" s="15">
        <v>0</v>
      </c>
      <c r="F2" s="15">
        <v>29814035000000</v>
      </c>
      <c r="G2" s="7">
        <v>2800114929286</v>
      </c>
      <c r="H2" s="7">
        <f t="shared" ref="H2" si="0">F2-G2</f>
        <v>27013920070714</v>
      </c>
    </row>
    <row r="3" spans="1:8" x14ac:dyDescent="0.3">
      <c r="A3" s="7">
        <v>4</v>
      </c>
      <c r="B3" s="12" t="s">
        <v>7</v>
      </c>
      <c r="C3" s="14">
        <v>6552043275696</v>
      </c>
      <c r="D3" s="15">
        <v>-5020900438</v>
      </c>
      <c r="E3" s="15">
        <v>0</v>
      </c>
      <c r="F3" s="15">
        <v>6557064176134</v>
      </c>
      <c r="G3" s="7">
        <v>4371170343501</v>
      </c>
      <c r="H3" s="7">
        <f>F3-G3</f>
        <v>2185893832633</v>
      </c>
    </row>
    <row r="4" spans="1:8" x14ac:dyDescent="0.3">
      <c r="A4" s="7">
        <v>5</v>
      </c>
      <c r="B4" s="7" t="s">
        <v>15</v>
      </c>
      <c r="C4" s="14">
        <f>SUM(C2:C3)</f>
        <v>36366078275696</v>
      </c>
      <c r="D4" s="14">
        <f>SUM(D2:D3)</f>
        <v>-5020900438</v>
      </c>
      <c r="E4" s="14">
        <f>SUM(E2:E3)</f>
        <v>0</v>
      </c>
      <c r="F4" s="14">
        <f>SUM(F2:F3)</f>
        <v>36371099176134</v>
      </c>
      <c r="G4" s="7">
        <f>SUM(G2:G3)</f>
        <v>7171285272787</v>
      </c>
      <c r="H4" s="7">
        <f>SUM(H2:H3)</f>
        <v>29199813903347</v>
      </c>
    </row>
    <row r="10" spans="1:8" x14ac:dyDescent="0.3">
      <c r="G10" s="16"/>
      <c r="H10" s="16"/>
    </row>
    <row r="11" spans="1:8" x14ac:dyDescent="0.3">
      <c r="G11" s="16"/>
      <c r="H11" s="16"/>
    </row>
    <row r="12" spans="1:8" x14ac:dyDescent="0.3">
      <c r="D12" s="15"/>
      <c r="E12" s="15"/>
    </row>
    <row r="13" spans="1:8" x14ac:dyDescent="0.3">
      <c r="D13" s="15"/>
      <c r="E13" s="15"/>
    </row>
    <row r="14" spans="1:8" x14ac:dyDescent="0.3">
      <c r="D14" s="15"/>
      <c r="E14" s="15"/>
    </row>
  </sheetData>
  <autoFilter ref="A1:H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4"/>
  <sheetViews>
    <sheetView workbookViewId="0">
      <selection activeCell="N10" sqref="N10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7" bestFit="1" customWidth="1"/>
  </cols>
  <sheetData>
    <row r="1" spans="1:3" x14ac:dyDescent="0.3">
      <c r="A1" s="8" t="s">
        <v>0</v>
      </c>
      <c r="B1" s="6" t="s">
        <v>10</v>
      </c>
      <c r="C1" s="1" t="s">
        <v>8</v>
      </c>
    </row>
    <row r="2" spans="1:3" x14ac:dyDescent="0.3">
      <c r="A2">
        <v>1</v>
      </c>
      <c r="B2" s="18" t="s">
        <v>11</v>
      </c>
      <c r="C2" s="7">
        <v>2900058691514</v>
      </c>
    </row>
    <row r="3" spans="1:3" x14ac:dyDescent="0.3">
      <c r="A3">
        <v>2</v>
      </c>
      <c r="B3" s="18" t="s">
        <v>12</v>
      </c>
      <c r="C3" s="7">
        <v>3896540165083</v>
      </c>
    </row>
    <row r="4" spans="1:3" x14ac:dyDescent="0.3">
      <c r="A4">
        <v>3</v>
      </c>
      <c r="B4" s="18" t="s">
        <v>13</v>
      </c>
      <c r="C4" s="7">
        <v>374686416190</v>
      </c>
    </row>
  </sheetData>
  <autoFilter ref="A1:C4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6"/>
  <sheetViews>
    <sheetView workbookViewId="0">
      <selection activeCell="O12" sqref="O12"/>
    </sheetView>
  </sheetViews>
  <sheetFormatPr defaultRowHeight="13.2" x14ac:dyDescent="0.3"/>
  <cols>
    <col min="1" max="1" width="5.125" bestFit="1" customWidth="1"/>
    <col min="2" max="2" width="17.875" bestFit="1" customWidth="1"/>
    <col min="3" max="3" width="30.375" style="7" customWidth="1"/>
  </cols>
  <sheetData>
    <row r="1" spans="1:3" x14ac:dyDescent="0.3">
      <c r="A1" s="8" t="s">
        <v>0</v>
      </c>
      <c r="B1" s="4" t="s">
        <v>9</v>
      </c>
      <c r="C1" s="1" t="s">
        <v>8</v>
      </c>
    </row>
    <row r="2" spans="1:3" x14ac:dyDescent="0.3">
      <c r="A2">
        <v>1</v>
      </c>
      <c r="B2" s="17" t="s">
        <v>18</v>
      </c>
      <c r="C2" s="7">
        <v>2453356336199</v>
      </c>
    </row>
    <row r="3" spans="1:3" x14ac:dyDescent="0.3">
      <c r="A3">
        <v>2</v>
      </c>
      <c r="B3" s="17" t="s">
        <v>24</v>
      </c>
      <c r="C3" s="7">
        <v>243874700199</v>
      </c>
    </row>
    <row r="4" spans="1:3" x14ac:dyDescent="0.3">
      <c r="A4">
        <v>3</v>
      </c>
      <c r="B4" s="17" t="s">
        <v>25</v>
      </c>
      <c r="C4" s="7">
        <v>16376565890</v>
      </c>
    </row>
    <row r="5" spans="1:3" x14ac:dyDescent="0.3">
      <c r="A5">
        <v>4</v>
      </c>
      <c r="B5" s="17" t="s">
        <v>26</v>
      </c>
      <c r="C5" s="7">
        <v>14989681500</v>
      </c>
    </row>
    <row r="6" spans="1:3" x14ac:dyDescent="0.3">
      <c r="A6">
        <v>5</v>
      </c>
      <c r="B6" s="17" t="s">
        <v>27</v>
      </c>
      <c r="C6" s="7">
        <v>2457494375</v>
      </c>
    </row>
  </sheetData>
  <autoFilter ref="A1:C6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D4"/>
  <sheetViews>
    <sheetView workbookViewId="0">
      <selection activeCell="O15" sqref="O15"/>
    </sheetView>
  </sheetViews>
  <sheetFormatPr defaultRowHeight="13.2" x14ac:dyDescent="0.3"/>
  <cols>
    <col min="1" max="1" width="4.875" bestFit="1" customWidth="1"/>
    <col min="2" max="2" width="26" style="2" customWidth="1"/>
    <col min="3" max="3" width="20.25" style="7" bestFit="1" customWidth="1"/>
    <col min="4" max="4" width="20.125" style="7" customWidth="1"/>
  </cols>
  <sheetData>
    <row r="1" spans="1:4" x14ac:dyDescent="0.3">
      <c r="A1" s="5" t="s">
        <v>0</v>
      </c>
      <c r="B1" s="11" t="s">
        <v>19</v>
      </c>
      <c r="C1" s="5" t="s">
        <v>8</v>
      </c>
      <c r="D1" s="5" t="s">
        <v>20</v>
      </c>
    </row>
    <row r="2" spans="1:4" x14ac:dyDescent="0.3">
      <c r="A2" s="7">
        <v>1</v>
      </c>
      <c r="B2" s="7" t="s">
        <v>21</v>
      </c>
      <c r="C2" s="7">
        <v>1810017364573</v>
      </c>
      <c r="D2" s="7">
        <v>43243196000000</v>
      </c>
    </row>
    <row r="3" spans="1:4" x14ac:dyDescent="0.3">
      <c r="A3" s="7">
        <v>2</v>
      </c>
      <c r="B3" s="7" t="s">
        <v>22</v>
      </c>
      <c r="C3" s="7">
        <v>3653284029626</v>
      </c>
      <c r="D3" s="7">
        <v>12926521113900</v>
      </c>
    </row>
    <row r="4" spans="1:4" x14ac:dyDescent="0.3">
      <c r="A4" s="7">
        <v>3</v>
      </c>
      <c r="B4" s="7" t="s">
        <v>23</v>
      </c>
      <c r="C4" s="7">
        <v>1627310935279</v>
      </c>
      <c r="D4" s="7">
        <v>33759400000000</v>
      </c>
    </row>
  </sheetData>
  <autoFilter ref="A1:C4" xr:uid="{40BC33DF-1EAE-4DF6-9228-D45E928C50F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2"/>
  <sheetViews>
    <sheetView workbookViewId="0">
      <selection activeCell="N11" sqref="N11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7" bestFit="1" customWidth="1"/>
  </cols>
  <sheetData>
    <row r="1" spans="1:3" x14ac:dyDescent="0.3">
      <c r="A1" t="s">
        <v>0</v>
      </c>
      <c r="B1" s="10" t="s">
        <v>16</v>
      </c>
      <c r="C1" s="9" t="s">
        <v>8</v>
      </c>
    </row>
    <row r="2" spans="1:3" x14ac:dyDescent="0.3">
      <c r="A2">
        <v>1</v>
      </c>
      <c r="B2" t="s">
        <v>17</v>
      </c>
      <c r="C2" s="7">
        <v>7171285272787</v>
      </c>
    </row>
  </sheetData>
  <autoFilter ref="A1:C2" xr:uid="{3C422C38-199D-42CF-BC1B-FCE487D9B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 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2026-03-19T03:14:16Z</dcterms:modified>
</cp:coreProperties>
</file>