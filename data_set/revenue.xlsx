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FMIS\Tech-project\R20-dashboard\data_set\"/>
    </mc:Choice>
  </mc:AlternateContent>
  <xr:revisionPtr revIDLastSave="0" documentId="13_ncr:1_{4CA70B24-FFF4-4FBC-BADE-2F99E6971A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 1" sheetId="1" r:id="rId1"/>
    <sheet name="Sheet 2" sheetId="3" r:id="rId2"/>
    <sheet name="Sheet 3 " sheetId="4" r:id="rId3"/>
    <sheet name="Sheet 4" sheetId="5" r:id="rId4"/>
    <sheet name="Sheet 5" sheetId="6" r:id="rId5"/>
  </sheets>
  <definedNames>
    <definedName name="_xlnm._FilterDatabase" localSheetId="0" hidden="1">'Sheet 1'!$A$1:$H$6</definedName>
    <definedName name="_xlnm._FilterDatabase" localSheetId="1" hidden="1">'Sheet 2'!$A$1:$C$13</definedName>
    <definedName name="_xlnm._FilterDatabase" localSheetId="2" hidden="1">'Sheet 3 '!$A$1:$C$6</definedName>
    <definedName name="_xlnm._FilterDatabase" localSheetId="3" hidden="1">'Sheet 4'!$A$1:$C$6</definedName>
    <definedName name="_xlnm._FilterDatabase" localSheetId="4" hidden="1">'Sheet 5'!$A$1:$C$5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D5" i="1"/>
  <c r="C5" i="1"/>
  <c r="F5" i="1"/>
  <c r="E5" i="1"/>
  <c r="G5" i="1"/>
  <c r="H4" i="1"/>
  <c r="H3" i="1"/>
  <c r="H5" i="1" s="1"/>
</calcChain>
</file>

<file path=xl/sharedStrings.xml><?xml version="1.0" encoding="utf-8"?>
<sst xmlns="http://schemas.openxmlformats.org/spreadsheetml/2006/main" count="50" uniqueCount="42">
  <si>
    <t xml:space="preserve">   </t>
  </si>
  <si>
    <t>GOV_LEVEL</t>
  </si>
  <si>
    <t>ORIGINAL_BUDGET</t>
  </si>
  <si>
    <t>ADJUSTMENT_BUDGET</t>
  </si>
  <si>
    <t>TRANSFER_BUDGET</t>
  </si>
  <si>
    <t>CURRENT_BUDGET</t>
  </si>
  <si>
    <t>APE</t>
  </si>
  <si>
    <t>National</t>
  </si>
  <si>
    <t>Sub-national</t>
  </si>
  <si>
    <t>IMPLEMENTATION</t>
  </si>
  <si>
    <t>BUSINESS_UNIT</t>
  </si>
  <si>
    <t>MONTH_NAME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</si>
  <si>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</si>
  <si>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</si>
  <si>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</si>
  <si>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</si>
  <si>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</si>
  <si>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</si>
  <si>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</si>
  <si>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</si>
  <si>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</si>
  <si>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</si>
  <si>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</si>
  <si>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</si>
  <si>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AVAILABLE_BUDGET</t>
  </si>
  <si>
    <t>ACCOUNT</t>
  </si>
  <si>
    <t>All</t>
  </si>
  <si>
    <t>QUARTER_NAME</t>
  </si>
  <si>
    <t>Q1</t>
  </si>
  <si>
    <t>Q2</t>
  </si>
  <si>
    <t>Q3</t>
  </si>
  <si>
    <t>Q4</t>
  </si>
  <si>
    <t>10000</t>
  </si>
  <si>
    <t>PT018</t>
  </si>
  <si>
    <t>PV012</t>
  </si>
  <si>
    <t>PT006</t>
  </si>
  <si>
    <t>DS014</t>
  </si>
  <si>
    <t>70</t>
  </si>
  <si>
    <t>75</t>
  </si>
  <si>
    <t>71</t>
  </si>
  <si>
    <t>73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</si>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</sst>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2" fillId="2" borderId="0" xfId="1" applyNumberFormat="1" applyFont="1" applyFill="1"/>
    <xf numFmtId="49" fontId="0" fillId="0" borderId="0" xfId="0" applyNumberFormat="1"/>
    <xf numFmtId="164" fontId="2" fillId="3" borderId="0" xfId="1" applyNumberFormat="1" applyFont="1" applyFill="1"/>
    <xf numFmtId="43" fontId="2" fillId="2" borderId="0" xfId="1" applyFont="1" applyFill="1"/>
    <xf numFmtId="164" fontId="2" fillId="0" borderId="0" xfId="1" applyNumberFormat="1" applyFont="1"/>
    <xf numFmtId="0" fontId="2" fillId="2" borderId="0" xfId="0" applyFont="1" applyFill="1"/>
    <xf numFmtId="164" fontId="0" fillId="0" borderId="0" xfId="1" applyNumberFormat="1" applyFont="1"/>
    <xf numFmtId="0" fontId="2" fillId="0" borderId="0" xfId="0" applyFont="1"/>
    <xf numFmtId="49" fontId="0" fillId="3" borderId="0" xfId="0" applyNumberFormat="1" applyFill="1"/>
    <xf numFmtId="164" fontId="0" fillId="3" borderId="0" xfId="1" applyNumberFormat="1" applyFont="1" applyFill="1"/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pane ySplit="1" topLeftCell="A2" activePane="bottomLeft" state="frozen"/>
      <selection pane="bottomLeft" activeCell="J14" sqref="J14"/>
    </sheetView>
  </sheetViews>
  <sheetFormatPr defaultColWidth="9.125" defaultRowHeight="13.2" x14ac:dyDescent="0.3"/>
  <cols>
    <col min="1" max="1" width="4.125" style="7" bestFit="1" customWidth="1"/>
    <col min="2" max="2" width="13.25" style="7" bestFit="1" customWidth="1"/>
    <col min="3" max="3" width="25" style="7" customWidth="1"/>
    <col min="4" max="4" width="23.75" style="7" bestFit="1" customWidth="1"/>
    <col min="5" max="5" width="20.625" style="7" bestFit="1" customWidth="1"/>
    <col min="6" max="6" width="21" style="7" customWidth="1"/>
    <col min="7" max="7" width="20.25" style="7" bestFit="1" customWidth="1"/>
    <col min="8" max="8" width="21.5" style="7" bestFit="1" customWidth="1"/>
    <col min="9" max="16384" width="9.125" style="7"/>
  </cols>
  <sheetData>
    <row r="1" spans="1:8" s="5" customForma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3" t="s">
        <v>24</v>
      </c>
    </row>
    <row r="2" spans="1:8" x14ac:dyDescent="0.3">
      <c r="A2" s="7">
        <v>1</v>
      </c>
      <c r="B2" t="s">
        <v>6</v>
      </c>
      <c r="C2" s="7">
        <v>161473900000</v>
      </c>
      <c r="D2" s="7">
        <v>0</v>
      </c>
      <c r="E2" s="7">
        <v>0</v>
      </c>
      <c r="F2" s="7">
        <v>161473900000</v>
      </c>
      <c r="G2" s="7">
        <v>-3737997981</v>
      </c>
      <c r="H2" s="7">
        <f>F2-G2</f>
        <v>165211897981</v>
      </c>
    </row>
    <row r="3" spans="1:8" x14ac:dyDescent="0.3">
      <c r="A3" s="7">
        <v>3</v>
      </c>
      <c r="B3" t="s">
        <v>7</v>
      </c>
      <c r="C3" s="7">
        <v>28320545000000</v>
      </c>
      <c r="D3" s="7">
        <v>0</v>
      </c>
      <c r="E3" s="7">
        <v>0</v>
      </c>
      <c r="F3" s="7">
        <v>28320545000000</v>
      </c>
      <c r="G3" s="7">
        <v>2235500000000</v>
      </c>
      <c r="H3" s="7">
        <f t="shared" ref="H3" si="0">F3-G3</f>
        <v>26085045000000</v>
      </c>
    </row>
    <row r="4" spans="1:8" x14ac:dyDescent="0.3">
      <c r="A4" s="7">
        <v>4</v>
      </c>
      <c r="B4" t="s">
        <v>8</v>
      </c>
      <c r="C4" s="7">
        <v>8118598606972</v>
      </c>
      <c r="D4" s="7">
        <v>98008323205</v>
      </c>
      <c r="E4" s="7">
        <v>0</v>
      </c>
      <c r="F4" s="7">
        <v>8216606930177</v>
      </c>
      <c r="G4" s="7">
        <v>2947190000000</v>
      </c>
      <c r="H4" s="7">
        <f>F4-G4</f>
        <v>5269416930177</v>
      </c>
    </row>
    <row r="5" spans="1:8" x14ac:dyDescent="0.3">
      <c r="A5" s="7">
        <v>5</v>
      </c>
      <c r="B5" s="7" t="s">
        <v>26</v>
      </c>
      <c r="C5" s="7">
        <f>SUM(C2:C4)</f>
        <v>36600617506972</v>
      </c>
      <c r="D5" s="7">
        <f>SUM(D2:D4)</f>
        <v>98008323205</v>
      </c>
      <c r="E5" s="7">
        <f>SUM(E2:E4)</f>
        <v>0</v>
      </c>
      <c r="F5" s="7">
        <f>SUM(F2:F4)</f>
        <v>36698625830177</v>
      </c>
      <c r="G5" s="7">
        <f t="shared" ref="D5:H5" si="1">SUM(G2:G4)</f>
        <v>5178952002019</v>
      </c>
      <c r="H5" s="7">
        <f t="shared" si="1"/>
        <v>31519673828158</v>
      </c>
    </row>
  </sheetData>
  <autoFilter ref="A1:H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8C0B-F336-46B9-A589-71D74EC00AB3}">
  <dimension ref="A1:C13"/>
  <sheetViews>
    <sheetView workbookViewId="0">
      <selection activeCell="N19" sqref="N19"/>
    </sheetView>
  </sheetViews>
  <sheetFormatPr defaultRowHeight="13.2" x14ac:dyDescent="0.3"/>
  <cols>
    <col min="1" max="1" width="5.125" bestFit="1" customWidth="1"/>
    <col min="2" max="2" width="17.25" bestFit="1" customWidth="1"/>
    <col min="3" max="3" width="20.75" style="7" bestFit="1" customWidth="1"/>
  </cols>
  <sheetData>
    <row r="1" spans="1:3" x14ac:dyDescent="0.3">
      <c r="A1" s="8" t="s">
        <v>0</v>
      </c>
      <c r="B1" s="6" t="s">
        <v>11</v>
      </c>
      <c r="C1" s="1" t="s">
        <v>9</v>
      </c>
    </row>
    <row r="2" spans="1:3" x14ac:dyDescent="0.3">
      <c r="A2">
        <v>1</v>
      </c>
      <c r="B2" t="s">
        <v>12</v>
      </c>
      <c r="C2" s="7">
        <v>2417206062896</v>
      </c>
    </row>
    <row r="3" spans="1:3" x14ac:dyDescent="0.3">
      <c r="A3">
        <v>2</v>
      </c>
      <c r="B3" t="s">
        <v>13</v>
      </c>
      <c r="C3" s="7">
        <v>5094467965508</v>
      </c>
    </row>
    <row r="4" spans="1:3" x14ac:dyDescent="0.3">
      <c r="A4">
        <v>3</v>
      </c>
      <c r="B4" t="s">
        <v>14</v>
      </c>
      <c r="C4" s="7">
        <v>3021440735516</v>
      </c>
    </row>
    <row r="5" spans="1:3" x14ac:dyDescent="0.3">
      <c r="A5">
        <v>4</v>
      </c>
      <c r="B5" t="s">
        <v>15</v>
      </c>
      <c r="C5" s="7">
        <v>2450767685158</v>
      </c>
    </row>
    <row r="6" spans="1:3" x14ac:dyDescent="0.3">
      <c r="A6">
        <v>5</v>
      </c>
      <c r="B6" t="s">
        <v>16</v>
      </c>
      <c r="C6" s="7">
        <v>2161442275097</v>
      </c>
    </row>
    <row r="7" spans="1:3" x14ac:dyDescent="0.3">
      <c r="A7">
        <v>6</v>
      </c>
      <c r="B7" t="s">
        <v>17</v>
      </c>
      <c r="C7" s="7">
        <v>2628238449909</v>
      </c>
    </row>
    <row r="8" spans="1:3" x14ac:dyDescent="0.3">
      <c r="A8">
        <v>7</v>
      </c>
      <c r="B8" t="s">
        <v>18</v>
      </c>
      <c r="C8" s="7">
        <v>2636551148524</v>
      </c>
    </row>
    <row r="9" spans="1:3" x14ac:dyDescent="0.3">
      <c r="A9">
        <v>8</v>
      </c>
      <c r="B9" t="s">
        <v>19</v>
      </c>
      <c r="C9" s="7">
        <v>1760127443335</v>
      </c>
    </row>
    <row r="10" spans="1:3" x14ac:dyDescent="0.3">
      <c r="A10">
        <v>9</v>
      </c>
      <c r="B10" t="s">
        <v>20</v>
      </c>
      <c r="C10" s="7">
        <v>1813308077073</v>
      </c>
    </row>
    <row r="11" spans="1:3" x14ac:dyDescent="0.3">
      <c r="A11">
        <v>10</v>
      </c>
      <c r="B11" t="s">
        <v>21</v>
      </c>
      <c r="C11" s="7">
        <v>2770812747197</v>
      </c>
    </row>
    <row r="12" spans="1:3" x14ac:dyDescent="0.3">
      <c r="A12">
        <v>11</v>
      </c>
      <c r="B12" t="s">
        <v>22</v>
      </c>
      <c r="C12" s="7">
        <v>2143092411154</v>
      </c>
    </row>
    <row r="13" spans="1:3" x14ac:dyDescent="0.3">
      <c r="A13">
        <v>12</v>
      </c>
      <c r="B13" t="s">
        <v>23</v>
      </c>
      <c r="C13" s="7">
        <v>2928206598694</v>
      </c>
    </row>
  </sheetData>
  <autoFilter ref="A1:C13" xr:uid="{D4778C0B-F336-46B9-A589-71D74EC00A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8304-9B49-43AC-912D-191C43D436A7}">
  <dimension ref="A1:C6"/>
  <sheetViews>
    <sheetView workbookViewId="0">
      <selection activeCell="G9" sqref="G9"/>
    </sheetView>
  </sheetViews>
  <sheetFormatPr defaultRowHeight="13.2" x14ac:dyDescent="0.3"/>
  <cols>
    <col min="1" max="1" width="5.125" bestFit="1" customWidth="1"/>
    <col min="2" max="2" width="17.875" bestFit="1" customWidth="1"/>
    <col min="3" max="3" width="30.375" style="7" customWidth="1"/>
  </cols>
  <sheetData>
    <row r="1" spans="1:3" x14ac:dyDescent="0.3">
      <c r="A1" s="8" t="s">
        <v>0</v>
      </c>
      <c r="B1" s="4" t="s">
        <v>10</v>
      </c>
      <c r="C1" s="1" t="s">
        <v>9</v>
      </c>
    </row>
    <row r="2" spans="1:3" x14ac:dyDescent="0.3">
      <c r="A2">
        <v>1</v>
      </c>
      <c r="B2" t="s">
        <v>32</v>
      </c>
      <c r="C2" s="7">
        <v>2141042505040</v>
      </c>
    </row>
    <row r="3" spans="1:3" x14ac:dyDescent="0.3">
      <c r="A3">
        <v>2</v>
      </c>
      <c r="B3" t="s">
        <v>33</v>
      </c>
      <c r="C3" s="7">
        <v>254513669895</v>
      </c>
    </row>
    <row r="4" spans="1:3" x14ac:dyDescent="0.3">
      <c r="A4">
        <v>3</v>
      </c>
      <c r="B4" t="s">
        <v>34</v>
      </c>
      <c r="C4" s="7">
        <v>248502009848</v>
      </c>
    </row>
    <row r="5" spans="1:3" x14ac:dyDescent="0.3">
      <c r="A5">
        <v>4</v>
      </c>
      <c r="B5" t="s">
        <v>35</v>
      </c>
      <c r="C5" s="7">
        <v>160380784306</v>
      </c>
    </row>
    <row r="6" spans="1:3" x14ac:dyDescent="0.3">
      <c r="A6">
        <v>5</v>
      </c>
      <c r="B6" t="s">
        <v>36</v>
      </c>
      <c r="C6" s="7">
        <v>151208916327</v>
      </c>
    </row>
  </sheetData>
  <autoFilter ref="A1:C6" xr:uid="{38E38304-9B49-43AC-912D-191C43D436A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33DF-1EAE-4DF6-9228-D45E928C50FA}">
  <dimension ref="A1:C6"/>
  <sheetViews>
    <sheetView tabSelected="1" workbookViewId="0">
      <selection activeCell="K14" sqref="K14"/>
    </sheetView>
  </sheetViews>
  <sheetFormatPr defaultRowHeight="13.2" x14ac:dyDescent="0.3"/>
  <cols>
    <col min="1" max="1" width="4.875" bestFit="1" customWidth="1"/>
    <col min="2" max="2" width="11.875" style="2" bestFit="1" customWidth="1"/>
    <col min="3" max="3" width="19.25" style="7" bestFit="1" customWidth="1"/>
  </cols>
  <sheetData>
    <row r="1" spans="1:3" x14ac:dyDescent="0.3">
      <c r="A1" t="s">
        <v>0</v>
      </c>
      <c r="B1" s="9" t="s">
        <v>25</v>
      </c>
      <c r="C1" s="10" t="s">
        <v>9</v>
      </c>
    </row>
    <row r="2" spans="1:3" x14ac:dyDescent="0.3">
      <c r="A2">
        <v>1</v>
      </c>
      <c r="B2" t="s">
        <v>37</v>
      </c>
      <c r="C2" s="7">
        <v>2675525351251</v>
      </c>
    </row>
    <row r="3" spans="1:3" x14ac:dyDescent="0.3">
      <c r="A3">
        <v>2</v>
      </c>
      <c r="B3" t="s">
        <v>38</v>
      </c>
      <c r="C3" s="7">
        <v>2088199357300</v>
      </c>
    </row>
    <row r="4" spans="1:3" x14ac:dyDescent="0.3">
      <c r="A4">
        <v>3</v>
      </c>
      <c r="B4" t="s">
        <v>39</v>
      </c>
      <c r="C4" s="7">
        <v>271101012313</v>
      </c>
    </row>
    <row r="5" spans="1:3" x14ac:dyDescent="0.3">
      <c r="A5">
        <v>4</v>
      </c>
      <c r="B5" t="s">
        <v>40</v>
      </c>
      <c r="C5" s="7">
        <v>221985642471</v>
      </c>
    </row>
    <row r="6" spans="1:3" x14ac:dyDescent="0.3">
      <c r="A6">
        <v>5</v>
      </c>
      <c r="B6" t="s">
        <v>41</v>
      </c>
      <c r="C6" s="7">
        <v>104728322682</v>
      </c>
    </row>
  </sheetData>
  <autoFilter ref="A1:C6" xr:uid="{40BC33DF-1EAE-4DF6-9228-D45E928C50F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2C38-199D-42CF-BC1B-FCE487D9B7BD}">
  <dimension ref="A1:C5"/>
  <sheetViews>
    <sheetView workbookViewId="0">
      <selection activeCell="M15" sqref="M15"/>
    </sheetView>
  </sheetViews>
  <sheetFormatPr defaultRowHeight="13.2" x14ac:dyDescent="0.3"/>
  <cols>
    <col min="1" max="1" width="4.875" bestFit="1" customWidth="1"/>
    <col min="2" max="2" width="17.625" bestFit="1" customWidth="1"/>
    <col min="3" max="3" width="20.25" style="7" bestFit="1" customWidth="1"/>
  </cols>
  <sheetData>
    <row r="1" spans="1:3" x14ac:dyDescent="0.3">
      <c r="A1" t="s">
        <v>0</v>
      </c>
      <c r="B1" s="11" t="s">
        <v>27</v>
      </c>
      <c r="C1" s="10" t="s">
        <v>9</v>
      </c>
    </row>
    <row r="2" spans="1:3" x14ac:dyDescent="0.3">
      <c r="A2">
        <v>1</v>
      </c>
      <c r="B2" t="s">
        <v>28</v>
      </c>
      <c r="C2" s="7">
        <v>10533114763920</v>
      </c>
    </row>
    <row r="3" spans="1:3" x14ac:dyDescent="0.3">
      <c r="A3">
        <v>2</v>
      </c>
      <c r="B3" t="s">
        <v>29</v>
      </c>
      <c r="C3" s="7">
        <v>7240448410164</v>
      </c>
    </row>
    <row r="4" spans="1:3" x14ac:dyDescent="0.3">
      <c r="A4">
        <v>3</v>
      </c>
      <c r="B4" t="s">
        <v>30</v>
      </c>
      <c r="C4" s="7">
        <v>6209986668932</v>
      </c>
    </row>
    <row r="5" spans="1:3" x14ac:dyDescent="0.3">
      <c r="A5">
        <v>4</v>
      </c>
      <c r="B5" t="s">
        <v>31</v>
      </c>
      <c r="C5" s="7">
        <v>7842111757045</v>
      </c>
    </row>
  </sheetData>
  <autoFilter ref="A1:C5" xr:uid="{3C422C38-199D-42CF-BC1B-FCE487D9B7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Sheet 3 </vt:lpstr>
      <vt:lpstr>Sheet 4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Sorothhvc</dc:creator>
  <cp:lastModifiedBy>lenovo</cp:lastModifiedBy>
  <dcterms:created xsi:type="dcterms:W3CDTF">2026-03-07T12:16:55Z</dcterms:created>
  <dcterms:modified xsi:type="dcterms:W3CDTF">2026-03-11T14:10:45Z</dcterms:modified>
</cp:coreProperties>
</file>