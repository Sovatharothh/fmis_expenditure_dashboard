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FMIS\Tech-project\R20-dashboard\data_set\"/>
    </mc:Choice>
  </mc:AlternateContent>
  <xr:revisionPtr revIDLastSave="0" documentId="13_ncr:1_{A2F150BC-BC17-4452-BEC9-DE8806D3A59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 1" sheetId="1" r:id="rId1"/>
    <sheet name="Sheet 2" sheetId="3" r:id="rId2"/>
    <sheet name="Sheet 3 " sheetId="4" r:id="rId3"/>
    <sheet name="Sheet 4" sheetId="5" r:id="rId4"/>
    <sheet name="Sheet 5" sheetId="6" r:id="rId5"/>
    <sheet name="M_2025" sheetId="7" r:id="rId6"/>
    <sheet name="Q_2025" sheetId="9" r:id="rId7"/>
  </sheets>
  <definedNames>
    <definedName name="_xlnm._FilterDatabase" localSheetId="0" hidden="1">'Sheet 1'!$A$1:$H$5</definedName>
    <definedName name="_xlnm._FilterDatabase" localSheetId="1" hidden="1">'Sheet 2'!$A$1:$C$4</definedName>
    <definedName name="_xlnm._FilterDatabase" localSheetId="2" hidden="1">'Sheet 3 '!$A$1:$C$5</definedName>
    <definedName name="_xlnm._FilterDatabase" localSheetId="4" hidden="1">'Sheet 5'!$A$1:$C$2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C4" i="1"/>
  <c r="D4" i="1"/>
  <c r="E4" i="1"/>
  <c r="F4" i="1"/>
  <c r="G4" i="1"/>
  <c r="H3" i="1"/>
  <c r="H4" i="1" l="1"/>
</calcChain>
</file>

<file path=xl/sharedStrings.xml><?xml version="1.0" encoding="utf-8"?>
<sst xmlns="http://schemas.openxmlformats.org/spreadsheetml/2006/main" count="60" uniqueCount="42">
  <si>
    <t xml:space="preserve">   </t>
  </si>
  <si>
    <t>GOV_LEVEL</t>
  </si>
  <si>
    <t>ORIGINAL_BUDGET</t>
  </si>
  <si>
    <t>ADJUSTMENT_BUDGET</t>
  </si>
  <si>
    <t>TRANSFER_BUDGET</t>
  </si>
  <si>
    <t>CURRENT_BUDGET</t>
  </si>
  <si>
    <t>National</t>
  </si>
  <si>
    <t>Sub-national</t>
  </si>
  <si>
    <t>IMPLEMENTATION</t>
  </si>
  <si>
    <t>MONTH_NAME</t>
  </si>
  <si>
    <t>Jan</t>
  </si>
  <si>
    <t>Feb</t>
  </si>
  <si>
    <t>Mar</t>
  </si>
  <si>
    <t>AVAILABLE_BUDGET</t>
  </si>
  <si>
    <t>All</t>
  </si>
  <si>
    <t>QUARTER_NAME</t>
  </si>
  <si>
    <t>Q1</t>
  </si>
  <si>
    <t>EXPENDITURE_CATEGORY</t>
  </si>
  <si>
    <t>MODIFIED_LAW</t>
  </si>
  <si>
    <t>Staff Charges</t>
  </si>
  <si>
    <t>Operating Expenditures</t>
  </si>
  <si>
    <t>Investment Expenditure</t>
  </si>
  <si>
    <t>Financial Charges</t>
  </si>
  <si>
    <t>Transfer Expenditure</t>
  </si>
  <si>
    <t>Other Expenditure</t>
  </si>
  <si>
    <t>SECTOR</t>
  </si>
  <si>
    <t>Economic Sector</t>
  </si>
  <si>
    <t>General Administration Sector</t>
  </si>
  <si>
    <t>National Defense and Security Sector</t>
  </si>
  <si>
    <t>Social Sector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</si>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</sst>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2" fillId="2" borderId="0" xfId="1" applyNumberFormat="1" applyFont="1" applyFill="1"/>
    <xf numFmtId="164" fontId="2" fillId="3" borderId="0" xfId="1" applyNumberFormat="1" applyFont="1" applyFill="1"/>
    <xf numFmtId="164" fontId="2" fillId="0" borderId="0" xfId="1" applyNumberFormat="1" applyFont="1"/>
    <xf numFmtId="0" fontId="2" fillId="2" borderId="0" xfId="0" applyFont="1" applyFill="1"/>
    <xf numFmtId="164" fontId="0" fillId="0" borderId="0" xfId="1" applyNumberFormat="1" applyFont="1"/>
    <xf numFmtId="0" fontId="2" fillId="0" borderId="0" xfId="0" applyFont="1"/>
    <xf numFmtId="164" fontId="0" fillId="3" borderId="0" xfId="1" applyNumberFormat="1" applyFont="1" applyFill="1"/>
    <xf numFmtId="0" fontId="0" fillId="3" borderId="0" xfId="0" applyFill="1"/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0" borderId="0" xfId="0" applyFont="1"/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pane ySplit="1" topLeftCell="A2" activePane="bottomLeft" state="frozen"/>
      <selection pane="bottomLeft" activeCell="I12" sqref="I12"/>
    </sheetView>
  </sheetViews>
  <sheetFormatPr defaultColWidth="9.125" defaultRowHeight="13.2" x14ac:dyDescent="0.3"/>
  <cols>
    <col min="1" max="1" width="4.125" style="5" bestFit="1" customWidth="1"/>
    <col min="2" max="2" width="13.25" style="5" bestFit="1" customWidth="1"/>
    <col min="3" max="3" width="25" style="5" customWidth="1"/>
    <col min="4" max="4" width="23.75" style="5" bestFit="1" customWidth="1"/>
    <col min="5" max="5" width="20.625" style="5" bestFit="1" customWidth="1"/>
    <col min="6" max="6" width="21" style="5" customWidth="1"/>
    <col min="7" max="7" width="20.25" style="5" bestFit="1" customWidth="1"/>
    <col min="8" max="8" width="21.5" style="5" bestFit="1" customWidth="1"/>
    <col min="9" max="16384" width="9.125" style="5"/>
  </cols>
  <sheetData>
    <row r="1" spans="1:8" s="3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2" t="s">
        <v>13</v>
      </c>
    </row>
    <row r="2" spans="1:8" x14ac:dyDescent="0.3">
      <c r="A2">
        <v>2</v>
      </c>
      <c r="B2" t="s">
        <v>6</v>
      </c>
      <c r="C2" s="5">
        <v>19124997642364</v>
      </c>
      <c r="D2" s="5">
        <v>76190226</v>
      </c>
      <c r="E2" s="5">
        <v>4786188100000</v>
      </c>
      <c r="F2" s="5">
        <v>23911261932590</v>
      </c>
      <c r="G2" s="5">
        <v>7138347419054</v>
      </c>
      <c r="H2" s="5">
        <f>F2-G2</f>
        <v>16772914513536</v>
      </c>
    </row>
    <row r="3" spans="1:8" x14ac:dyDescent="0.3">
      <c r="A3">
        <v>3</v>
      </c>
      <c r="B3" t="s">
        <v>7</v>
      </c>
      <c r="C3" s="5">
        <v>6546712545966.2998</v>
      </c>
      <c r="D3" s="5">
        <v>510735414838</v>
      </c>
      <c r="E3" s="5">
        <v>0</v>
      </c>
      <c r="F3" s="5">
        <v>7057447960804.2998</v>
      </c>
      <c r="G3" s="5">
        <v>888965801579</v>
      </c>
      <c r="H3" s="5">
        <f>F3-G3</f>
        <v>6168482159225.2998</v>
      </c>
    </row>
    <row r="4" spans="1:8" x14ac:dyDescent="0.3">
      <c r="A4" s="5">
        <v>5</v>
      </c>
      <c r="B4" s="5" t="s">
        <v>14</v>
      </c>
      <c r="C4" s="5">
        <f t="shared" ref="C4:H4" si="0">SUM(C2:C3)</f>
        <v>25671710188330.301</v>
      </c>
      <c r="D4" s="5">
        <f t="shared" si="0"/>
        <v>510811605064</v>
      </c>
      <c r="E4" s="5">
        <f t="shared" si="0"/>
        <v>4786188100000</v>
      </c>
      <c r="F4" s="5">
        <f t="shared" si="0"/>
        <v>30968709893394.301</v>
      </c>
      <c r="G4" s="5">
        <f t="shared" si="0"/>
        <v>8027313220633</v>
      </c>
      <c r="H4" s="5">
        <f t="shared" si="0"/>
        <v>22941396672761.301</v>
      </c>
    </row>
  </sheetData>
  <autoFilter ref="A1:H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8C0B-F336-46B9-A589-71D74EC00AB3}">
  <dimension ref="A1:C4"/>
  <sheetViews>
    <sheetView workbookViewId="0">
      <selection activeCell="R21" sqref="R21"/>
    </sheetView>
  </sheetViews>
  <sheetFormatPr defaultRowHeight="13.2" x14ac:dyDescent="0.3"/>
  <cols>
    <col min="1" max="1" width="5.125" bestFit="1" customWidth="1"/>
    <col min="2" max="2" width="17.25" bestFit="1" customWidth="1"/>
    <col min="3" max="3" width="20.75" style="5" bestFit="1" customWidth="1"/>
  </cols>
  <sheetData>
    <row r="1" spans="1:3" x14ac:dyDescent="0.3">
      <c r="A1" s="6" t="s">
        <v>0</v>
      </c>
      <c r="B1" s="4" t="s">
        <v>9</v>
      </c>
      <c r="C1" s="1" t="s">
        <v>8</v>
      </c>
    </row>
    <row r="2" spans="1:3" x14ac:dyDescent="0.3">
      <c r="A2">
        <v>1</v>
      </c>
      <c r="B2" t="s">
        <v>10</v>
      </c>
      <c r="C2" s="5">
        <v>5138276519193</v>
      </c>
    </row>
    <row r="3" spans="1:3" x14ac:dyDescent="0.3">
      <c r="A3">
        <v>2</v>
      </c>
      <c r="B3" t="s">
        <v>11</v>
      </c>
      <c r="C3" s="5">
        <v>1843527924376</v>
      </c>
    </row>
    <row r="4" spans="1:3" x14ac:dyDescent="0.3">
      <c r="A4">
        <v>3</v>
      </c>
      <c r="B4" t="s">
        <v>12</v>
      </c>
      <c r="C4" s="5">
        <v>1045508777064</v>
      </c>
    </row>
  </sheetData>
  <autoFilter ref="A1:C4" xr:uid="{D4778C0B-F336-46B9-A589-71D74EC00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8304-9B49-43AC-912D-191C43D436A7}">
  <dimension ref="A1:C5"/>
  <sheetViews>
    <sheetView workbookViewId="0">
      <selection activeCell="K11" sqref="K11"/>
    </sheetView>
  </sheetViews>
  <sheetFormatPr defaultRowHeight="13.2" x14ac:dyDescent="0.3"/>
  <cols>
    <col min="1" max="1" width="5.125" bestFit="1" customWidth="1"/>
    <col min="2" max="2" width="28.5" customWidth="1"/>
    <col min="3" max="3" width="30.375" style="5" customWidth="1"/>
  </cols>
  <sheetData>
    <row r="1" spans="1:3" x14ac:dyDescent="0.3">
      <c r="A1" s="6" t="s">
        <v>0</v>
      </c>
      <c r="B1" s="6" t="s">
        <v>25</v>
      </c>
      <c r="C1" s="6" t="s">
        <v>8</v>
      </c>
    </row>
    <row r="2" spans="1:3" x14ac:dyDescent="0.3">
      <c r="A2">
        <v>1</v>
      </c>
      <c r="B2" t="s">
        <v>26</v>
      </c>
      <c r="C2" s="5">
        <v>438644389901</v>
      </c>
    </row>
    <row r="3" spans="1:3" x14ac:dyDescent="0.3">
      <c r="A3">
        <v>2</v>
      </c>
      <c r="B3" t="s">
        <v>27</v>
      </c>
      <c r="C3" s="5">
        <v>4233714551255</v>
      </c>
    </row>
    <row r="4" spans="1:3" x14ac:dyDescent="0.3">
      <c r="A4">
        <v>3</v>
      </c>
      <c r="B4" t="s">
        <v>28</v>
      </c>
      <c r="C4" s="5">
        <v>1087646623554</v>
      </c>
    </row>
    <row r="5" spans="1:3" x14ac:dyDescent="0.3">
      <c r="A5">
        <v>4</v>
      </c>
      <c r="B5" t="s">
        <v>29</v>
      </c>
      <c r="C5" s="5">
        <v>850940739922</v>
      </c>
    </row>
  </sheetData>
  <autoFilter ref="A1:C5" xr:uid="{38E38304-9B49-43AC-912D-191C43D436A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33DF-1EAE-4DF6-9228-D45E928C50FA}">
  <dimension ref="A1:D7"/>
  <sheetViews>
    <sheetView workbookViewId="0">
      <selection activeCell="M10" sqref="M10"/>
    </sheetView>
  </sheetViews>
  <sheetFormatPr defaultRowHeight="13.2" x14ac:dyDescent="0.3"/>
  <cols>
    <col min="1" max="1" width="4.125" bestFit="1" customWidth="1"/>
    <col min="2" max="2" width="26.25" bestFit="1" customWidth="1"/>
    <col min="3" max="4" width="20.25" style="5" bestFit="1" customWidth="1"/>
  </cols>
  <sheetData>
    <row r="1" spans="1:4" x14ac:dyDescent="0.3">
      <c r="A1" s="6" t="s">
        <v>0</v>
      </c>
      <c r="B1" s="6" t="s">
        <v>17</v>
      </c>
      <c r="C1" s="3" t="s">
        <v>8</v>
      </c>
      <c r="D1" s="3" t="s">
        <v>18</v>
      </c>
    </row>
    <row r="2" spans="1:4" x14ac:dyDescent="0.3">
      <c r="A2">
        <v>1</v>
      </c>
      <c r="B2" t="s">
        <v>19</v>
      </c>
      <c r="C2" s="5">
        <v>2283155862062</v>
      </c>
      <c r="D2" s="5">
        <v>11679312508124</v>
      </c>
    </row>
    <row r="3" spans="1:4" x14ac:dyDescent="0.3">
      <c r="A3">
        <v>2</v>
      </c>
      <c r="B3" t="s">
        <v>20</v>
      </c>
      <c r="C3" s="5">
        <v>379419917269</v>
      </c>
      <c r="D3" s="5">
        <v>5672564188205.2998</v>
      </c>
    </row>
    <row r="4" spans="1:4" x14ac:dyDescent="0.3">
      <c r="A4">
        <v>3</v>
      </c>
      <c r="B4" t="s">
        <v>21</v>
      </c>
      <c r="C4" s="5">
        <v>561086105282</v>
      </c>
      <c r="D4" s="5">
        <v>2031613285768</v>
      </c>
    </row>
    <row r="5" spans="1:4" x14ac:dyDescent="0.3">
      <c r="A5">
        <v>4</v>
      </c>
      <c r="B5" t="s">
        <v>22</v>
      </c>
      <c r="C5" s="5">
        <v>154089364654</v>
      </c>
      <c r="D5" s="5">
        <v>770830000000</v>
      </c>
    </row>
    <row r="6" spans="1:4" x14ac:dyDescent="0.3">
      <c r="A6">
        <v>5</v>
      </c>
      <c r="B6" t="s">
        <v>23</v>
      </c>
      <c r="C6" s="5">
        <v>4589530471366</v>
      </c>
      <c r="D6" s="5">
        <v>10659320225983</v>
      </c>
    </row>
    <row r="7" spans="1:4" x14ac:dyDescent="0.3">
      <c r="A7">
        <v>6</v>
      </c>
      <c r="B7" t="s">
        <v>24</v>
      </c>
      <c r="C7" s="5">
        <v>0</v>
      </c>
      <c r="D7" s="5">
        <v>148370835000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2C38-199D-42CF-BC1B-FCE487D9B7BD}">
  <dimension ref="A1:C2"/>
  <sheetViews>
    <sheetView workbookViewId="0">
      <selection activeCell="E15" sqref="E15"/>
    </sheetView>
  </sheetViews>
  <sheetFormatPr defaultRowHeight="13.2" x14ac:dyDescent="0.3"/>
  <cols>
    <col min="1" max="1" width="4.875" bestFit="1" customWidth="1"/>
    <col min="2" max="2" width="17.625" bestFit="1" customWidth="1"/>
    <col min="3" max="3" width="20.25" style="5" bestFit="1" customWidth="1"/>
  </cols>
  <sheetData>
    <row r="1" spans="1:3" x14ac:dyDescent="0.3">
      <c r="A1" t="s">
        <v>0</v>
      </c>
      <c r="B1" s="8" t="s">
        <v>15</v>
      </c>
      <c r="C1" s="7" t="s">
        <v>8</v>
      </c>
    </row>
    <row r="2" spans="1:3" x14ac:dyDescent="0.3">
      <c r="A2">
        <v>1</v>
      </c>
      <c r="B2" t="s">
        <v>16</v>
      </c>
      <c r="C2" s="5">
        <v>7967281720633</v>
      </c>
    </row>
  </sheetData>
  <autoFilter ref="A1:C2" xr:uid="{3C422C38-199D-42CF-BC1B-FCE487D9B7B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0029-151D-439F-826B-A8E5EC5D528B}">
  <dimension ref="A1:C13"/>
  <sheetViews>
    <sheetView workbookViewId="0">
      <selection activeCell="F17" sqref="F17"/>
    </sheetView>
  </sheetViews>
  <sheetFormatPr defaultRowHeight="13.2" x14ac:dyDescent="0.3"/>
  <cols>
    <col min="1" max="1" width="4.375" customWidth="1"/>
    <col min="2" max="2" width="20" customWidth="1"/>
    <col min="3" max="3" width="19.75" bestFit="1" customWidth="1"/>
  </cols>
  <sheetData>
    <row r="1" spans="1:3" x14ac:dyDescent="0.3">
      <c r="A1" s="12" t="s">
        <v>0</v>
      </c>
      <c r="B1" s="12" t="s">
        <v>9</v>
      </c>
      <c r="C1" s="11" t="s">
        <v>8</v>
      </c>
    </row>
    <row r="2" spans="1:3" x14ac:dyDescent="0.3">
      <c r="A2" s="9">
        <v>1</v>
      </c>
      <c r="B2" s="9" t="s">
        <v>10</v>
      </c>
      <c r="C2" s="10">
        <v>5082745134684</v>
      </c>
    </row>
    <row r="3" spans="1:3" x14ac:dyDescent="0.3">
      <c r="A3" s="9">
        <v>2</v>
      </c>
      <c r="B3" s="9" t="s">
        <v>11</v>
      </c>
      <c r="C3" s="10">
        <v>2020939931173</v>
      </c>
    </row>
    <row r="4" spans="1:3" x14ac:dyDescent="0.3">
      <c r="A4" s="9">
        <v>3</v>
      </c>
      <c r="B4" s="9" t="s">
        <v>12</v>
      </c>
      <c r="C4" s="10">
        <v>3501085853043</v>
      </c>
    </row>
    <row r="5" spans="1:3" x14ac:dyDescent="0.3">
      <c r="A5" s="9">
        <v>4</v>
      </c>
      <c r="B5" s="9" t="s">
        <v>30</v>
      </c>
      <c r="C5" s="10">
        <v>1950327370548</v>
      </c>
    </row>
    <row r="6" spans="1:3" x14ac:dyDescent="0.3">
      <c r="A6" s="9">
        <v>5</v>
      </c>
      <c r="B6" s="9" t="s">
        <v>31</v>
      </c>
      <c r="C6" s="10">
        <v>2113506905289</v>
      </c>
    </row>
    <row r="7" spans="1:3" x14ac:dyDescent="0.3">
      <c r="A7" s="9">
        <v>6</v>
      </c>
      <c r="B7" s="9" t="s">
        <v>32</v>
      </c>
      <c r="C7" s="10">
        <v>3087685652641</v>
      </c>
    </row>
    <row r="8" spans="1:3" x14ac:dyDescent="0.3">
      <c r="A8" s="9">
        <v>7</v>
      </c>
      <c r="B8" s="9" t="s">
        <v>33</v>
      </c>
      <c r="C8" s="10">
        <v>2630278673333</v>
      </c>
    </row>
    <row r="9" spans="1:3" x14ac:dyDescent="0.3">
      <c r="A9" s="9">
        <v>8</v>
      </c>
      <c r="B9" s="9" t="s">
        <v>34</v>
      </c>
      <c r="C9" s="10">
        <v>2807689736601</v>
      </c>
    </row>
    <row r="10" spans="1:3" x14ac:dyDescent="0.3">
      <c r="A10" s="9">
        <v>9</v>
      </c>
      <c r="B10" s="9" t="s">
        <v>35</v>
      </c>
      <c r="C10" s="10">
        <v>3052095146708</v>
      </c>
    </row>
    <row r="11" spans="1:3" x14ac:dyDescent="0.3">
      <c r="A11" s="9">
        <v>10</v>
      </c>
      <c r="B11" s="9" t="s">
        <v>36</v>
      </c>
      <c r="C11" s="10">
        <v>2521353748586</v>
      </c>
    </row>
    <row r="12" spans="1:3" x14ac:dyDescent="0.3">
      <c r="A12" s="9">
        <v>11</v>
      </c>
      <c r="B12" s="9" t="s">
        <v>37</v>
      </c>
      <c r="C12" s="10">
        <v>2349698835425</v>
      </c>
    </row>
    <row r="13" spans="1:3" x14ac:dyDescent="0.3">
      <c r="A13" s="9">
        <v>12</v>
      </c>
      <c r="B13" s="9" t="s">
        <v>38</v>
      </c>
      <c r="C13" s="10">
        <v>5007448049264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A846-6351-46DD-B0EF-044698DA304B}">
  <dimension ref="A1:C5"/>
  <sheetViews>
    <sheetView tabSelected="1" workbookViewId="0">
      <selection activeCell="J14" sqref="J14"/>
    </sheetView>
  </sheetViews>
  <sheetFormatPr defaultRowHeight="13.2" x14ac:dyDescent="0.3"/>
  <cols>
    <col min="1" max="1" width="2.625" bestFit="1" customWidth="1"/>
    <col min="2" max="2" width="16.375" bestFit="1" customWidth="1"/>
    <col min="3" max="3" width="19.75" bestFit="1" customWidth="1"/>
  </cols>
  <sheetData>
    <row r="1" spans="1:3" x14ac:dyDescent="0.3">
      <c r="A1" s="16" t="s">
        <v>0</v>
      </c>
      <c r="B1" s="16" t="s">
        <v>15</v>
      </c>
      <c r="C1" s="15" t="s">
        <v>8</v>
      </c>
    </row>
    <row r="2" spans="1:3" x14ac:dyDescent="0.3">
      <c r="A2" s="13">
        <v>1</v>
      </c>
      <c r="B2" s="13" t="s">
        <v>16</v>
      </c>
      <c r="C2" s="14">
        <v>10536172381870</v>
      </c>
    </row>
    <row r="3" spans="1:3" x14ac:dyDescent="0.3">
      <c r="A3" s="13">
        <v>2</v>
      </c>
      <c r="B3" s="13" t="s">
        <v>39</v>
      </c>
      <c r="C3" s="14">
        <v>6987599928478</v>
      </c>
    </row>
    <row r="4" spans="1:3" x14ac:dyDescent="0.3">
      <c r="A4" s="13">
        <v>3</v>
      </c>
      <c r="B4" s="13" t="s">
        <v>40</v>
      </c>
      <c r="C4" s="14">
        <v>8411062756642</v>
      </c>
    </row>
    <row r="5" spans="1:3" x14ac:dyDescent="0.3">
      <c r="A5" s="13">
        <v>4</v>
      </c>
      <c r="B5" s="13" t="s">
        <v>41</v>
      </c>
      <c r="C5" s="14">
        <v>9374547833275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 1</vt:lpstr>
      <vt:lpstr>Sheet 2</vt:lpstr>
      <vt:lpstr>Sheet 3 </vt:lpstr>
      <vt:lpstr>Sheet 4</vt:lpstr>
      <vt:lpstr>Sheet 5</vt:lpstr>
      <vt:lpstr>M_2025</vt:lpstr>
      <vt:lpstr>Q_2025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Sorothhvc</dc:creator>
  <cp:lastModifiedBy>lenovo</cp:lastModifiedBy>
  <dcterms:created xsi:type="dcterms:W3CDTF">2026-03-07T12:16:55Z</dcterms:created>
  <dcterms:modified xsi:type="dcterms:W3CDTF">2026-03-19T06:49:51Z</dcterms:modified>
</cp:coreProperties>
</file>