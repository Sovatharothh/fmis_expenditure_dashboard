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FMIS\Tech-project\R20-dashboard\data_set\"/>
    </mc:Choice>
  </mc:AlternateContent>
  <xr:revisionPtr revIDLastSave="0" documentId="13_ncr:1_{6435E27B-7BCE-400C-A647-E3AC1D30BB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3" r:id="rId2"/>
    <sheet name="Sheet 3 " sheetId="4" r:id="rId3"/>
    <sheet name="Sheet 4" sheetId="5" r:id="rId4"/>
    <sheet name="Sheet 5" sheetId="6" r:id="rId5"/>
  </sheets>
  <definedNames>
    <definedName name="_xlnm._FilterDatabase" localSheetId="0" hidden="1">'Sheet 1'!$A$1:$H$6</definedName>
    <definedName name="_xlnm._FilterDatabase" localSheetId="1" hidden="1">'Sheet 2'!$A$1:$C$13</definedName>
    <definedName name="_xlnm._FilterDatabase" localSheetId="2" hidden="1">'Sheet 3 '!$A$1:$C$6</definedName>
    <definedName name="_xlnm._FilterDatabase" localSheetId="3" hidden="1">'Sheet 4'!$A$1:$C$11</definedName>
    <definedName name="_xlnm._FilterDatabase" localSheetId="4" hidden="1">'Sheet 5'!$A$1:$C$5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E5" i="1"/>
  <c r="D5" i="1"/>
  <c r="G5" i="1"/>
  <c r="H5" i="1"/>
  <c r="C5" i="1"/>
  <c r="G4" i="1"/>
  <c r="H4" i="1" s="1"/>
  <c r="H3" i="1"/>
  <c r="H2" i="1"/>
</calcChain>
</file>

<file path=xl/sharedStrings.xml><?xml version="1.0" encoding="utf-8"?>
<sst xmlns="http://schemas.openxmlformats.org/spreadsheetml/2006/main" count="41" uniqueCount="33">
  <si>
    <t xml:space="preserve">   </t>
  </si>
  <si>
    <t>GOV_LEVEL</t>
  </si>
  <si>
    <t>ORIGINAL_BUDGET</t>
  </si>
  <si>
    <t>ADJUSTMENT_BUDGET</t>
  </si>
  <si>
    <t>TRANSFER_BUDGET</t>
  </si>
  <si>
    <t>CURRENT_BUDGET</t>
  </si>
  <si>
    <t>APE</t>
  </si>
  <si>
    <t>National</t>
  </si>
  <si>
    <t>Sub-national</t>
  </si>
  <si>
    <t>IMPLEMENTATION</t>
  </si>
  <si>
    <t>BUSINESS_UNIT</t>
  </si>
  <si>
    <t>MONTH_NAME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</si>
  <si>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</si>
  <si>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</si>
  <si>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</si>
  <si>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</si>
  <si>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</si>
  <si>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</si>
  <si>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</si>
  <si>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</si>
  <si>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</si>
  <si>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</si>
  <si>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</si>
  <si>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</si>
  <si>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AVAILABLE_BUDGET</t>
  </si>
  <si>
    <t>ACCOUNT</t>
  </si>
  <si>
    <t>All</t>
  </si>
  <si>
    <t>QUARTER_NAME</t>
  </si>
  <si>
    <t>Q1</t>
  </si>
  <si>
    <t>Q2</t>
  </si>
  <si>
    <t>Q3</t>
  </si>
  <si>
    <t>Q4</t>
  </si>
  <si>
    <t>(-10393900000000)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</si>
</sst>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2" fillId="2" borderId="0" xfId="1" applyNumberFormat="1" applyFont="1" applyFill="1"/>
    <xf numFmtId="49" fontId="0" fillId="0" borderId="0" xfId="0" applyNumberFormat="1"/>
    <xf numFmtId="164" fontId="2" fillId="3" borderId="0" xfId="1" applyNumberFormat="1" applyFont="1" applyFill="1"/>
    <xf numFmtId="43" fontId="2" fillId="2" borderId="0" xfId="1" applyFont="1" applyFill="1"/>
    <xf numFmtId="164" fontId="2" fillId="0" borderId="0" xfId="1" applyNumberFormat="1" applyFont="1"/>
    <xf numFmtId="0" fontId="2" fillId="2" borderId="0" xfId="0" applyFont="1" applyFill="1"/>
    <xf numFmtId="164" fontId="0" fillId="0" borderId="0" xfId="1" applyNumberFormat="1" applyFont="1"/>
    <xf numFmtId="0" fontId="2" fillId="0" borderId="0" xfId="0" applyFont="1"/>
    <xf numFmtId="49" fontId="0" fillId="3" borderId="0" xfId="0" applyNumberFormat="1" applyFill="1"/>
    <xf numFmtId="164" fontId="0" fillId="3" borderId="0" xfId="1" applyNumberFormat="1" applyFont="1" applyFill="1"/>
    <xf numFmtId="0" fontId="0" fillId="3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pane ySplit="1" topLeftCell="A2" activePane="bottomLeft" state="frozen"/>
      <selection pane="bottomLeft" activeCell="H19" sqref="H19"/>
    </sheetView>
  </sheetViews>
  <sheetFormatPr defaultColWidth="9.125" defaultRowHeight="13.2" x14ac:dyDescent="0.3"/>
  <cols>
    <col min="1" max="1" width="4.125" style="7" bestFit="1" customWidth="1"/>
    <col min="2" max="2" width="13.25" style="7" bestFit="1" customWidth="1"/>
    <col min="3" max="3" width="25" style="7" customWidth="1"/>
    <col min="4" max="4" width="23.75" style="7" bestFit="1" customWidth="1"/>
    <col min="5" max="5" width="20.625" style="7" bestFit="1" customWidth="1"/>
    <col min="6" max="6" width="21" style="7" customWidth="1"/>
    <col min="7" max="7" width="20.25" style="7" bestFit="1" customWidth="1"/>
    <col min="8" max="8" width="21.5" style="7" bestFit="1" customWidth="1"/>
    <col min="9" max="16384" width="9.125" style="7"/>
  </cols>
  <sheetData>
    <row r="1" spans="1:8" s="5" customFormat="1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3" t="s">
        <v>24</v>
      </c>
    </row>
    <row r="2" spans="1:8" x14ac:dyDescent="0.3">
      <c r="A2" s="7">
        <v>1</v>
      </c>
      <c r="B2" s="7" t="s">
        <v>6</v>
      </c>
      <c r="C2" s="7">
        <v>217578000000</v>
      </c>
      <c r="D2" s="7">
        <v>1240000000</v>
      </c>
      <c r="E2" s="7">
        <v>0</v>
      </c>
      <c r="F2" s="7">
        <v>218818000000</v>
      </c>
      <c r="G2" s="7">
        <v>42864977654</v>
      </c>
      <c r="H2" s="7">
        <f>F2-G2</f>
        <v>175953022346</v>
      </c>
    </row>
    <row r="3" spans="1:8" x14ac:dyDescent="0.3">
      <c r="A3" s="7">
        <v>3</v>
      </c>
      <c r="B3" s="7" t="s">
        <v>7</v>
      </c>
      <c r="C3" s="7">
        <v>21388100000000</v>
      </c>
      <c r="D3" s="7">
        <v>726039000000</v>
      </c>
      <c r="E3" s="7">
        <v>7173000000000</v>
      </c>
      <c r="F3" s="7">
        <v>29287200000000</v>
      </c>
      <c r="G3" s="7">
        <v>6823421692217</v>
      </c>
      <c r="H3" s="7">
        <f t="shared" ref="H3" si="0">F3-G3</f>
        <v>22463778307783</v>
      </c>
    </row>
    <row r="4" spans="1:8" x14ac:dyDescent="0.3">
      <c r="A4" s="7">
        <v>4</v>
      </c>
      <c r="B4" s="7" t="s">
        <v>8</v>
      </c>
      <c r="C4" s="7">
        <v>17654600000000</v>
      </c>
      <c r="D4" s="7">
        <v>1016670000000</v>
      </c>
      <c r="E4" s="7" t="s">
        <v>32</v>
      </c>
      <c r="F4" s="7">
        <v>8277340000000</v>
      </c>
      <c r="G4" s="7">
        <f>SUM(G2:G3)</f>
        <v>6866286669871</v>
      </c>
      <c r="H4" s="7">
        <f>F4-G4</f>
        <v>1411053330129</v>
      </c>
    </row>
    <row r="5" spans="1:8" x14ac:dyDescent="0.3">
      <c r="A5" s="7">
        <v>5</v>
      </c>
      <c r="B5" s="7" t="s">
        <v>26</v>
      </c>
      <c r="C5" s="7">
        <f>SUM(C2:C4)</f>
        <v>39260278000000</v>
      </c>
      <c r="D5" s="7">
        <f t="shared" ref="D5:H5" si="1">SUM(D2:D4)</f>
        <v>1743949000000</v>
      </c>
      <c r="E5" s="7">
        <f>SUM(E2:E4)</f>
        <v>7173000000000</v>
      </c>
      <c r="F5" s="7">
        <f>SUM(F2:F4)</f>
        <v>37783358000000</v>
      </c>
      <c r="G5" s="7">
        <f t="shared" si="1"/>
        <v>13732573339742</v>
      </c>
      <c r="H5" s="7">
        <f t="shared" si="1"/>
        <v>24050784660258</v>
      </c>
    </row>
  </sheetData>
  <autoFilter ref="A1:H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8C0B-F336-46B9-A589-71D74EC00AB3}">
  <dimension ref="A1:C13"/>
  <sheetViews>
    <sheetView workbookViewId="0">
      <selection activeCell="C4" sqref="C4"/>
    </sheetView>
  </sheetViews>
  <sheetFormatPr defaultRowHeight="13.2" x14ac:dyDescent="0.3"/>
  <cols>
    <col min="1" max="1" width="5.125" bestFit="1" customWidth="1"/>
    <col min="2" max="2" width="17.25" bestFit="1" customWidth="1"/>
    <col min="3" max="3" width="20.75" style="7" bestFit="1" customWidth="1"/>
  </cols>
  <sheetData>
    <row r="1" spans="1:3" x14ac:dyDescent="0.3">
      <c r="A1" s="8" t="s">
        <v>0</v>
      </c>
      <c r="B1" s="6" t="s">
        <v>11</v>
      </c>
      <c r="C1" s="1" t="s">
        <v>9</v>
      </c>
    </row>
    <row r="2" spans="1:3" x14ac:dyDescent="0.3">
      <c r="A2">
        <v>1</v>
      </c>
      <c r="B2" t="s">
        <v>12</v>
      </c>
      <c r="C2" s="7">
        <v>5041400000000</v>
      </c>
    </row>
    <row r="3" spans="1:3" x14ac:dyDescent="0.3">
      <c r="A3">
        <v>2</v>
      </c>
      <c r="B3" t="s">
        <v>13</v>
      </c>
      <c r="C3" s="7">
        <v>2005520000000</v>
      </c>
    </row>
    <row r="4" spans="1:3" x14ac:dyDescent="0.3">
      <c r="A4">
        <v>3</v>
      </c>
      <c r="B4" t="s">
        <v>14</v>
      </c>
      <c r="C4" s="7">
        <v>3517440000000</v>
      </c>
    </row>
    <row r="5" spans="1:3" x14ac:dyDescent="0.3">
      <c r="A5">
        <v>4</v>
      </c>
      <c r="B5" t="s">
        <v>15</v>
      </c>
      <c r="C5" s="7">
        <v>1923830000000</v>
      </c>
    </row>
    <row r="6" spans="1:3" x14ac:dyDescent="0.3">
      <c r="A6">
        <v>5</v>
      </c>
      <c r="B6" t="s">
        <v>16</v>
      </c>
      <c r="C6" s="7">
        <v>2092940000000</v>
      </c>
    </row>
    <row r="7" spans="1:3" x14ac:dyDescent="0.3">
      <c r="A7">
        <v>6</v>
      </c>
      <c r="B7" t="s">
        <v>17</v>
      </c>
      <c r="C7" s="7">
        <v>2988710000000</v>
      </c>
    </row>
    <row r="8" spans="1:3" x14ac:dyDescent="0.3">
      <c r="A8">
        <v>7</v>
      </c>
      <c r="B8" t="s">
        <v>18</v>
      </c>
      <c r="C8" s="7">
        <v>2627520000000</v>
      </c>
    </row>
    <row r="9" spans="1:3" x14ac:dyDescent="0.3">
      <c r="A9">
        <v>8</v>
      </c>
      <c r="B9" t="s">
        <v>19</v>
      </c>
      <c r="C9" s="7">
        <v>2804740000000</v>
      </c>
    </row>
    <row r="10" spans="1:3" x14ac:dyDescent="0.3">
      <c r="A10">
        <v>9</v>
      </c>
      <c r="B10" t="s">
        <v>20</v>
      </c>
      <c r="C10" s="7">
        <v>2998370000000</v>
      </c>
    </row>
    <row r="11" spans="1:3" x14ac:dyDescent="0.3">
      <c r="A11">
        <v>10</v>
      </c>
      <c r="B11" t="s">
        <v>21</v>
      </c>
      <c r="C11" s="7">
        <v>2422470000000</v>
      </c>
    </row>
    <row r="12" spans="1:3" x14ac:dyDescent="0.3">
      <c r="A12">
        <v>11</v>
      </c>
      <c r="B12" t="s">
        <v>22</v>
      </c>
      <c r="C12" s="7">
        <v>2292590000000</v>
      </c>
    </row>
    <row r="13" spans="1:3" x14ac:dyDescent="0.3">
      <c r="A13">
        <v>12</v>
      </c>
      <c r="B13" t="s">
        <v>23</v>
      </c>
      <c r="C13" s="7">
        <v>4784260000000</v>
      </c>
    </row>
  </sheetData>
  <autoFilter ref="A1:C13" xr:uid="{D4778C0B-F336-46B9-A589-71D74EC00AB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8304-9B49-43AC-912D-191C43D436A7}">
  <dimension ref="A1:C6"/>
  <sheetViews>
    <sheetView workbookViewId="0">
      <selection activeCell="N13" sqref="N13"/>
    </sheetView>
  </sheetViews>
  <sheetFormatPr defaultRowHeight="13.2" x14ac:dyDescent="0.3"/>
  <cols>
    <col min="1" max="1" width="5.125" bestFit="1" customWidth="1"/>
    <col min="2" max="2" width="17.875" bestFit="1" customWidth="1"/>
    <col min="3" max="3" width="30.375" style="7" customWidth="1"/>
  </cols>
  <sheetData>
    <row r="1" spans="1:3" x14ac:dyDescent="0.3">
      <c r="A1" s="8" t="s">
        <v>0</v>
      </c>
      <c r="B1" s="4" t="s">
        <v>10</v>
      </c>
      <c r="C1" s="1" t="s">
        <v>9</v>
      </c>
    </row>
    <row r="2" spans="1:3" x14ac:dyDescent="0.3">
      <c r="A2">
        <v>1</v>
      </c>
      <c r="B2">
        <v>10000</v>
      </c>
      <c r="C2" s="7">
        <v>7230300000000</v>
      </c>
    </row>
    <row r="3" spans="1:3" x14ac:dyDescent="0.3">
      <c r="A3">
        <v>2</v>
      </c>
      <c r="B3">
        <v>6000</v>
      </c>
      <c r="C3" s="7">
        <v>2991870000000</v>
      </c>
    </row>
    <row r="4" spans="1:3" x14ac:dyDescent="0.3">
      <c r="A4">
        <v>3</v>
      </c>
      <c r="B4">
        <v>21000</v>
      </c>
      <c r="C4" s="7">
        <v>2448370000000</v>
      </c>
    </row>
    <row r="5" spans="1:3" x14ac:dyDescent="0.3">
      <c r="A5">
        <v>4</v>
      </c>
      <c r="B5">
        <v>71000</v>
      </c>
      <c r="C5" s="7">
        <v>2016200000000</v>
      </c>
    </row>
    <row r="6" spans="1:3" x14ac:dyDescent="0.3">
      <c r="A6">
        <v>5</v>
      </c>
      <c r="B6">
        <v>51000</v>
      </c>
      <c r="C6" s="7">
        <v>1913020000000</v>
      </c>
    </row>
  </sheetData>
  <autoFilter ref="A1:C6" xr:uid="{38E38304-9B49-43AC-912D-191C43D436A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33DF-1EAE-4DF6-9228-D45E928C50FA}">
  <dimension ref="A1:C11"/>
  <sheetViews>
    <sheetView workbookViewId="0">
      <selection activeCell="G21" sqref="G21"/>
    </sheetView>
  </sheetViews>
  <sheetFormatPr defaultRowHeight="13.2" x14ac:dyDescent="0.3"/>
  <cols>
    <col min="1" max="1" width="4.875" bestFit="1" customWidth="1"/>
    <col min="2" max="2" width="11.875" style="2" bestFit="1" customWidth="1"/>
    <col min="3" max="3" width="19.25" style="7" bestFit="1" customWidth="1"/>
  </cols>
  <sheetData>
    <row r="1" spans="1:3" x14ac:dyDescent="0.3">
      <c r="A1" t="s">
        <v>0</v>
      </c>
      <c r="B1" s="9" t="s">
        <v>25</v>
      </c>
      <c r="C1" s="10" t="s">
        <v>9</v>
      </c>
    </row>
    <row r="2" spans="1:3" x14ac:dyDescent="0.3">
      <c r="A2">
        <v>1</v>
      </c>
      <c r="B2" s="2">
        <v>64021</v>
      </c>
      <c r="C2" s="7">
        <v>4842210000000</v>
      </c>
    </row>
    <row r="3" spans="1:3" x14ac:dyDescent="0.3">
      <c r="A3">
        <v>2</v>
      </c>
      <c r="B3" s="2">
        <v>64022</v>
      </c>
      <c r="C3" s="7">
        <v>3738010000000</v>
      </c>
    </row>
    <row r="4" spans="1:3" x14ac:dyDescent="0.3">
      <c r="A4">
        <v>3</v>
      </c>
      <c r="B4" s="2">
        <v>65016</v>
      </c>
      <c r="C4" s="7">
        <v>2886790000000</v>
      </c>
    </row>
    <row r="5" spans="1:3" x14ac:dyDescent="0.3">
      <c r="A5">
        <v>4</v>
      </c>
      <c r="B5" s="2">
        <v>62028</v>
      </c>
      <c r="C5" s="7">
        <v>2070440000000</v>
      </c>
    </row>
    <row r="6" spans="1:3" x14ac:dyDescent="0.3">
      <c r="A6">
        <v>5</v>
      </c>
      <c r="B6" s="2">
        <v>21041</v>
      </c>
      <c r="C6" s="7">
        <v>1881930000000</v>
      </c>
    </row>
    <row r="7" spans="1:3" x14ac:dyDescent="0.3">
      <c r="A7">
        <v>6</v>
      </c>
      <c r="B7" s="2">
        <v>61053</v>
      </c>
      <c r="C7" s="7">
        <v>1729560000000</v>
      </c>
    </row>
    <row r="8" spans="1:3" x14ac:dyDescent="0.3">
      <c r="A8">
        <v>7</v>
      </c>
      <c r="B8" s="2">
        <v>65013</v>
      </c>
      <c r="C8" s="7">
        <v>1297640000000</v>
      </c>
    </row>
    <row r="9" spans="1:3" x14ac:dyDescent="0.3">
      <c r="A9">
        <v>8</v>
      </c>
      <c r="B9" s="2">
        <v>62013</v>
      </c>
      <c r="C9" s="7">
        <v>1163330000000</v>
      </c>
    </row>
    <row r="10" spans="1:3" x14ac:dyDescent="0.3">
      <c r="A10">
        <v>9</v>
      </c>
      <c r="B10" s="2">
        <v>21042</v>
      </c>
      <c r="C10" s="7">
        <v>1047990000000</v>
      </c>
    </row>
    <row r="11" spans="1:3" x14ac:dyDescent="0.3">
      <c r="A11">
        <v>10</v>
      </c>
      <c r="B11" s="2">
        <v>65012</v>
      </c>
      <c r="C11" s="7">
        <v>694136000000</v>
      </c>
    </row>
  </sheetData>
  <autoFilter ref="A1:C11" xr:uid="{40BC33DF-1EAE-4DF6-9228-D45E928C50F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2C38-199D-42CF-BC1B-FCE487D9B7BD}">
  <dimension ref="A1:C5"/>
  <sheetViews>
    <sheetView workbookViewId="0">
      <selection activeCell="C2" sqref="C2"/>
    </sheetView>
  </sheetViews>
  <sheetFormatPr defaultRowHeight="13.2" x14ac:dyDescent="0.3"/>
  <cols>
    <col min="1" max="1" width="4.875" bestFit="1" customWidth="1"/>
    <col min="2" max="2" width="17.625" bestFit="1" customWidth="1"/>
    <col min="3" max="3" width="20.25" style="7" bestFit="1" customWidth="1"/>
  </cols>
  <sheetData>
    <row r="1" spans="1:3" x14ac:dyDescent="0.3">
      <c r="A1" t="s">
        <v>0</v>
      </c>
      <c r="B1" s="11" t="s">
        <v>27</v>
      </c>
      <c r="C1" s="10" t="s">
        <v>9</v>
      </c>
    </row>
    <row r="2" spans="1:3" x14ac:dyDescent="0.3">
      <c r="A2">
        <v>1</v>
      </c>
      <c r="B2" t="s">
        <v>28</v>
      </c>
      <c r="C2" s="7">
        <v>10564400000000</v>
      </c>
    </row>
    <row r="3" spans="1:3" x14ac:dyDescent="0.3">
      <c r="A3">
        <v>2</v>
      </c>
      <c r="B3" t="s">
        <v>29</v>
      </c>
      <c r="C3" s="7">
        <v>7005490000000</v>
      </c>
    </row>
    <row r="4" spans="1:3" x14ac:dyDescent="0.3">
      <c r="A4">
        <v>3</v>
      </c>
      <c r="B4" t="s">
        <v>30</v>
      </c>
      <c r="C4" s="7">
        <v>8430630000000</v>
      </c>
    </row>
    <row r="5" spans="1:3" x14ac:dyDescent="0.3">
      <c r="A5">
        <v>4</v>
      </c>
      <c r="B5" t="s">
        <v>31</v>
      </c>
      <c r="C5" s="7">
        <v>9499320000000</v>
      </c>
    </row>
  </sheetData>
  <autoFilter ref="A1:C5" xr:uid="{3C422C38-199D-42CF-BC1B-FCE487D9B7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</vt:lpstr>
      <vt:lpstr>Sheet 2</vt:lpstr>
      <vt:lpstr>Sheet 3 </vt:lpstr>
      <vt:lpstr>Sheet 4</vt:lpstr>
      <vt:lpstr>Sheet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Sorothhvc</dc:creator>
  <cp:lastModifiedBy>lenovo</cp:lastModifiedBy>
  <dcterms:created xsi:type="dcterms:W3CDTF">2026-03-07T12:16:55Z</dcterms:created>
  <dcterms:modified xsi:type="dcterms:W3CDTF">2026-03-08T05:22:32Z</dcterms:modified>
</cp:coreProperties>
</file>